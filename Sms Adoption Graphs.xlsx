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ida_SMS_Adaptation_analysis" sheetId="1" r:id="rId4"/>
  </sheets>
  <definedNames/>
  <calcPr/>
</workbook>
</file>

<file path=xl/sharedStrings.xml><?xml version="1.0" encoding="utf-8"?>
<sst xmlns="http://schemas.openxmlformats.org/spreadsheetml/2006/main" count="24" uniqueCount="24">
  <si>
    <t>Institution_Type</t>
  </si>
  <si>
    <t>Count</t>
  </si>
  <si>
    <t>SMS_Adoption_Rate</t>
  </si>
  <si>
    <t>Not_Using_SMS_Rate</t>
  </si>
  <si>
    <t>Average_Student_Strength</t>
  </si>
  <si>
    <t>Source_Notes</t>
  </si>
  <si>
    <t>Institutions_Using_SMS</t>
  </si>
  <si>
    <t>Institutions_Not_Using_SMS</t>
  </si>
  <si>
    <t>Total Schools in Noida</t>
  </si>
  <si>
    <t>EzySchooling 2025 data</t>
  </si>
  <si>
    <t>CBSE Schools</t>
  </si>
  <si>
    <t>CBSE affiliated schools in Noida</t>
  </si>
  <si>
    <t>State Board Schools</t>
  </si>
  <si>
    <t>UP State Board schools</t>
  </si>
  <si>
    <t>International Schools (IB/Cambridge)</t>
  </si>
  <si>
    <t>IB/Cambridge curriculum schools</t>
  </si>
  <si>
    <t>Government Schools</t>
  </si>
  <si>
    <t>Government schools with low enrollment</t>
  </si>
  <si>
    <t>Private Schools</t>
  </si>
  <si>
    <t>Private unaided schools</t>
  </si>
  <si>
    <t>Total Colleges in Noida/Greater Noida</t>
  </si>
  <si>
    <t>Shiksha.com college data</t>
  </si>
  <si>
    <t>Total Higher Education Institutions</t>
  </si>
  <si>
    <t>Combined educational institutions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</si>
</sst>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1" fillId="0" fontId="3" numFmtId="0" xfId="0" applyBorder="1" applyFont="1"/>
    <xf borderId="0" fillId="0" fontId="4" numFmtId="9" xfId="0" applyFont="1" applyNumberFormat="1"/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12</xdr:row>
      <xdr:rowOff>47625</xdr:rowOff>
    </xdr:from>
    <xdr:ext cx="4876800" cy="3248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6.0"/>
    <col customWidth="1" min="3" max="3" width="18.13"/>
    <col customWidth="1" min="4" max="4" width="19.13"/>
    <col customWidth="1" min="5" max="5" width="23.38"/>
    <col customWidth="1" min="6" max="6" width="31.75"/>
    <col customWidth="1" min="7" max="7" width="20.63"/>
    <col customWidth="1" min="8" max="8" width="24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>
        <v>265.0</v>
      </c>
      <c r="C2" s="5">
        <f>45/100</f>
        <v>0.45</v>
      </c>
      <c r="D2" s="5">
        <v>0.55</v>
      </c>
      <c r="E2" s="4">
        <v>850.0</v>
      </c>
      <c r="F2" s="3" t="s">
        <v>9</v>
      </c>
      <c r="G2" s="4">
        <v>119.0</v>
      </c>
      <c r="H2" s="4">
        <v>146.0</v>
      </c>
    </row>
    <row r="3">
      <c r="A3" s="3" t="s">
        <v>10</v>
      </c>
      <c r="B3" s="4">
        <v>179.0</v>
      </c>
      <c r="C3" s="5">
        <f>65/100</f>
        <v>0.65</v>
      </c>
      <c r="D3" s="5">
        <v>0.35</v>
      </c>
      <c r="E3" s="4">
        <v>1200.0</v>
      </c>
      <c r="F3" s="3" t="s">
        <v>11</v>
      </c>
      <c r="G3" s="4">
        <v>116.0</v>
      </c>
      <c r="H3" s="4">
        <v>63.0</v>
      </c>
    </row>
    <row r="4">
      <c r="A4" s="3" t="s">
        <v>12</v>
      </c>
      <c r="B4" s="4">
        <v>44.0</v>
      </c>
      <c r="C4" s="5">
        <v>0.25</v>
      </c>
      <c r="D4" s="5">
        <v>0.75</v>
      </c>
      <c r="E4" s="4">
        <v>600.0</v>
      </c>
      <c r="F4" s="3" t="s">
        <v>13</v>
      </c>
      <c r="G4" s="4">
        <v>11.0</v>
      </c>
      <c r="H4" s="4">
        <v>33.0</v>
      </c>
    </row>
    <row r="5">
      <c r="A5" s="3" t="s">
        <v>14</v>
      </c>
      <c r="B5" s="4">
        <v>14.0</v>
      </c>
      <c r="C5" s="5">
        <v>0.85</v>
      </c>
      <c r="D5" s="5">
        <v>0.15</v>
      </c>
      <c r="E5" s="4">
        <v>1500.0</v>
      </c>
      <c r="F5" s="3" t="s">
        <v>15</v>
      </c>
      <c r="G5" s="4">
        <v>12.0</v>
      </c>
      <c r="H5" s="4">
        <v>2.0</v>
      </c>
    </row>
    <row r="6">
      <c r="A6" s="3" t="s">
        <v>16</v>
      </c>
      <c r="B6" s="4">
        <v>152.0</v>
      </c>
      <c r="C6" s="5">
        <v>0.15</v>
      </c>
      <c r="D6" s="5">
        <v>0.85</v>
      </c>
      <c r="E6" s="4">
        <v>180.0</v>
      </c>
      <c r="F6" s="3" t="s">
        <v>17</v>
      </c>
      <c r="G6" s="4">
        <v>23.0</v>
      </c>
      <c r="H6" s="4">
        <v>129.0</v>
      </c>
    </row>
    <row r="7">
      <c r="A7" s="3" t="s">
        <v>18</v>
      </c>
      <c r="B7" s="4">
        <v>113.0</v>
      </c>
      <c r="C7" s="5">
        <v>0.7</v>
      </c>
      <c r="D7" s="5">
        <v>0.3</v>
      </c>
      <c r="E7" s="4">
        <v>1000.0</v>
      </c>
      <c r="F7" s="3" t="s">
        <v>19</v>
      </c>
      <c r="G7" s="4">
        <v>79.0</v>
      </c>
      <c r="H7" s="4">
        <v>34.0</v>
      </c>
    </row>
    <row r="8">
      <c r="A8" s="3" t="s">
        <v>20</v>
      </c>
      <c r="B8" s="4">
        <v>242.0</v>
      </c>
      <c r="C8" s="5">
        <v>0.55</v>
      </c>
      <c r="D8" s="5">
        <v>0.45</v>
      </c>
      <c r="E8" s="4">
        <v>2500.0</v>
      </c>
      <c r="F8" s="3" t="s">
        <v>21</v>
      </c>
      <c r="G8" s="4">
        <v>133.0</v>
      </c>
      <c r="H8" s="4">
        <v>109.0</v>
      </c>
    </row>
    <row r="9">
      <c r="A9" s="3" t="s">
        <v>22</v>
      </c>
      <c r="B9" s="4">
        <v>300.0</v>
      </c>
      <c r="C9" s="5">
        <v>0.6</v>
      </c>
      <c r="D9" s="5">
        <v>0.4</v>
      </c>
      <c r="E9" s="4">
        <v>1800.0</v>
      </c>
      <c r="F9" s="3" t="s">
        <v>23</v>
      </c>
      <c r="G9" s="4">
        <v>180.0</v>
      </c>
      <c r="H9" s="4">
        <v>120.0</v>
      </c>
    </row>
    <row r="10">
      <c r="B10" s="6">
        <f>SUM(B2:B9)</f>
        <v>1309</v>
      </c>
      <c r="C10" s="7"/>
      <c r="D10" s="7"/>
      <c r="G10" s="6">
        <f t="shared" ref="G10:H10" si="1">SUM(G2:G9)</f>
        <v>673</v>
      </c>
      <c r="H10" s="6">
        <f t="shared" si="1"/>
        <v>636</v>
      </c>
      <c r="I10" s="8"/>
    </row>
    <row r="11">
      <c r="C11" s="7"/>
      <c r="D11" s="7"/>
    </row>
    <row r="12">
      <c r="C12" s="7"/>
      <c r="D12" s="7"/>
    </row>
    <row r="13">
      <c r="C13" s="7"/>
      <c r="D13" s="7"/>
    </row>
    <row r="14">
      <c r="C14" s="7"/>
      <c r="D14" s="7"/>
    </row>
    <row r="15">
      <c r="C15" s="7"/>
      <c r="D15" s="7"/>
    </row>
    <row r="16">
      <c r="C16" s="7"/>
      <c r="D16" s="7"/>
    </row>
    <row r="17">
      <c r="C17" s="7"/>
      <c r="D17" s="7"/>
    </row>
    <row r="18">
      <c r="C18" s="7"/>
      <c r="D18" s="7"/>
    </row>
    <row r="19">
      <c r="C19" s="7"/>
      <c r="D19" s="7"/>
    </row>
    <row r="20">
      <c r="C20" s="7"/>
      <c r="D20" s="7"/>
    </row>
    <row r="21">
      <c r="C21" s="7"/>
      <c r="D21" s="7"/>
    </row>
    <row r="22">
      <c r="C22" s="7"/>
      <c r="D22" s="7"/>
    </row>
    <row r="23">
      <c r="C23" s="7"/>
      <c r="D23" s="7"/>
    </row>
    <row r="24">
      <c r="C24" s="7"/>
      <c r="D24" s="7"/>
    </row>
    <row r="25">
      <c r="C25" s="7"/>
      <c r="D25" s="7"/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  <row r="982">
      <c r="C982" s="7"/>
      <c r="D982" s="7"/>
    </row>
    <row r="983">
      <c r="C983" s="7"/>
      <c r="D983" s="7"/>
    </row>
    <row r="984">
      <c r="C984" s="7"/>
      <c r="D984" s="7"/>
    </row>
    <row r="985">
      <c r="C985" s="7"/>
      <c r="D985" s="7"/>
    </row>
    <row r="986">
      <c r="C986" s="7"/>
      <c r="D986" s="7"/>
    </row>
    <row r="987">
      <c r="C987" s="7"/>
      <c r="D987" s="7"/>
    </row>
    <row r="988">
      <c r="C988" s="7"/>
      <c r="D988" s="7"/>
    </row>
    <row r="989">
      <c r="C989" s="7"/>
      <c r="D989" s="7"/>
    </row>
    <row r="990">
      <c r="C990" s="7"/>
      <c r="D990" s="7"/>
    </row>
    <row r="991">
      <c r="C991" s="7"/>
      <c r="D991" s="7"/>
    </row>
    <row r="992">
      <c r="C992" s="7"/>
      <c r="D992" s="7"/>
    </row>
    <row r="993">
      <c r="C993" s="7"/>
      <c r="D993" s="7"/>
    </row>
    <row r="994">
      <c r="C994" s="7"/>
      <c r="D994" s="7"/>
    </row>
    <row r="995">
      <c r="C995" s="7"/>
      <c r="D995" s="7"/>
    </row>
    <row r="996">
      <c r="C996" s="7"/>
      <c r="D996" s="7"/>
    </row>
    <row r="997">
      <c r="C997" s="7"/>
      <c r="D997" s="7"/>
    </row>
    <row r="998">
      <c r="C998" s="7"/>
      <c r="D998" s="7"/>
    </row>
    <row r="999">
      <c r="C999" s="7"/>
      <c r="D999" s="7"/>
    </row>
    <row r="1000">
      <c r="C1000" s="7"/>
      <c r="D1000" s="7"/>
    </row>
  </sheetData>
  <conditionalFormatting sqref="H10">
    <cfRule type="notContainsBlanks" dxfId="0" priority="1">
      <formula>LEN(TRIM(H10))&gt;0</formula>
    </cfRule>
  </conditionalFormatting>
  <drawing r:id="rId1"/>
</worksheet>
</file>